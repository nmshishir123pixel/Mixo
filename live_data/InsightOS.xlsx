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oject\live_data\"/>
    </mc:Choice>
  </mc:AlternateContent>
  <xr:revisionPtr revIDLastSave="0" documentId="13_ncr:1_{AE644D40-E664-48BE-B624-BF1D4F133A2D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Products" sheetId="1" r:id="rId1"/>
    <sheet name="Inventory" sheetId="2" r:id="rId2"/>
    <sheet name="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F15" i="3"/>
  <c r="G15" i="3" s="1"/>
  <c r="C15" i="3"/>
  <c r="F14" i="3"/>
  <c r="G14" i="3" s="1"/>
  <c r="C14" i="3"/>
  <c r="F13" i="3"/>
  <c r="G13" i="3" s="1"/>
  <c r="C13" i="3"/>
  <c r="F12" i="3"/>
  <c r="G12" i="3" s="1"/>
  <c r="C12" i="3"/>
  <c r="F11" i="3"/>
  <c r="G11" i="3" s="1"/>
  <c r="C11" i="3"/>
  <c r="F10" i="3"/>
  <c r="G10" i="3" s="1"/>
  <c r="C10" i="3"/>
  <c r="F9" i="3"/>
  <c r="G9" i="3" s="1"/>
  <c r="C9" i="3"/>
  <c r="F8" i="3"/>
  <c r="G8" i="3" s="1"/>
  <c r="C8" i="3"/>
  <c r="F7" i="3"/>
  <c r="G7" i="3" s="1"/>
  <c r="C7" i="3"/>
  <c r="F6" i="3"/>
  <c r="G6" i="3" s="1"/>
  <c r="C6" i="3"/>
  <c r="F5" i="3"/>
  <c r="G5" i="3" s="1"/>
  <c r="C5" i="3"/>
  <c r="F4" i="3"/>
  <c r="G4" i="3" s="1"/>
  <c r="C4" i="3"/>
  <c r="F3" i="3"/>
  <c r="G3" i="3" s="1"/>
  <c r="C3" i="3"/>
  <c r="F2" i="3"/>
  <c r="G2" i="3" s="1"/>
  <c r="C2" i="3"/>
  <c r="D16" i="2"/>
  <c r="E15" i="2"/>
  <c r="F15" i="2" s="1"/>
  <c r="C15" i="2"/>
  <c r="B15" i="2"/>
  <c r="E14" i="2"/>
  <c r="F14" i="2" s="1"/>
  <c r="C14" i="2"/>
  <c r="B14" i="2"/>
  <c r="E13" i="2"/>
  <c r="F13" i="2" s="1"/>
  <c r="C13" i="2"/>
  <c r="B13" i="2"/>
  <c r="E12" i="2"/>
  <c r="F12" i="2" s="1"/>
  <c r="C12" i="2"/>
  <c r="B12" i="2"/>
  <c r="E11" i="2"/>
  <c r="F11" i="2" s="1"/>
  <c r="C11" i="2"/>
  <c r="B11" i="2"/>
  <c r="E10" i="2"/>
  <c r="F10" i="2" s="1"/>
  <c r="C10" i="2"/>
  <c r="B10" i="2"/>
  <c r="E9" i="2"/>
  <c r="F9" i="2" s="1"/>
  <c r="C9" i="2"/>
  <c r="B9" i="2"/>
  <c r="E8" i="2"/>
  <c r="F8" i="2" s="1"/>
  <c r="C8" i="2"/>
  <c r="B8" i="2"/>
  <c r="E7" i="2"/>
  <c r="F7" i="2" s="1"/>
  <c r="C7" i="2"/>
  <c r="B7" i="2"/>
  <c r="E6" i="2"/>
  <c r="F6" i="2" s="1"/>
  <c r="C6" i="2"/>
  <c r="B6" i="2"/>
  <c r="G12" i="2" l="1"/>
  <c r="I12" i="2"/>
  <c r="H12" i="2"/>
  <c r="I14" i="2"/>
  <c r="H14" i="2"/>
  <c r="G14" i="2"/>
  <c r="H10" i="2"/>
  <c r="I10" i="2"/>
  <c r="G10" i="2"/>
  <c r="I7" i="2"/>
  <c r="H7" i="2"/>
  <c r="G7" i="2"/>
  <c r="I11" i="2"/>
  <c r="G11" i="2"/>
  <c r="H11" i="2"/>
  <c r="I15" i="2"/>
  <c r="H15" i="2"/>
  <c r="G15" i="2"/>
  <c r="G16" i="3"/>
  <c r="I6" i="2"/>
  <c r="H6" i="2"/>
  <c r="G6" i="2"/>
  <c r="D3" i="2"/>
  <c r="F16" i="2"/>
  <c r="H8" i="2"/>
  <c r="G8" i="2"/>
  <c r="I8" i="2"/>
  <c r="I9" i="2"/>
  <c r="G9" i="2"/>
  <c r="H9" i="2"/>
  <c r="I13" i="2"/>
  <c r="G13" i="2"/>
  <c r="H13" i="2"/>
  <c r="E16" i="2"/>
  <c r="H3" i="2" l="1"/>
  <c r="F3" i="2"/>
  <c r="H16" i="2"/>
  <c r="B3" i="2"/>
  <c r="G16" i="2"/>
</calcChain>
</file>

<file path=xl/sharedStrings.xml><?xml version="1.0" encoding="utf-8"?>
<sst xmlns="http://schemas.openxmlformats.org/spreadsheetml/2006/main" count="123" uniqueCount="72">
  <si>
    <t>Inventory Health &amp; Real-Time Tracking</t>
  </si>
  <si>
    <t>SKU</t>
  </si>
  <si>
    <t>Product Name</t>
  </si>
  <si>
    <t>Category</t>
  </si>
  <si>
    <t>Supplier</t>
  </si>
  <si>
    <t>Cost Price</t>
  </si>
  <si>
    <t>Selling Price</t>
  </si>
  <si>
    <t>Reorder Level</t>
  </si>
  <si>
    <t>Total Inventory Value</t>
  </si>
  <si>
    <t>SKU-1001</t>
  </si>
  <si>
    <t>Wireless Noise-Canceling Headphones</t>
  </si>
  <si>
    <t>Electronics</t>
  </si>
  <si>
    <t>Apex Audio Dist.</t>
  </si>
  <si>
    <t>Total Units in Stock</t>
  </si>
  <si>
    <t>Potential Sales Value</t>
  </si>
  <si>
    <t>Reorder Alerts</t>
  </si>
  <si>
    <t>SKU-1002</t>
  </si>
  <si>
    <t>Transaction ID</t>
  </si>
  <si>
    <t>SKU-1003</t>
  </si>
  <si>
    <t>Stainless Steel Insulated Tumbler</t>
  </si>
  <si>
    <t>Home &amp; Kitchen</t>
  </si>
  <si>
    <t>Vanguard Goods</t>
  </si>
  <si>
    <t>SKU-1004</t>
  </si>
  <si>
    <t>Ceramic Pour-Over Coffee Dripper</t>
  </si>
  <si>
    <t>SKU-1005</t>
  </si>
  <si>
    <t>Organic Cotton Heavyweight T-Shirt</t>
  </si>
  <si>
    <t>Apparel</t>
  </si>
  <si>
    <t>ThreadCraft Apparel</t>
  </si>
  <si>
    <t>SKU-1006</t>
  </si>
  <si>
    <t>Water-Resistant Commuter Backpack</t>
  </si>
  <si>
    <t>Accessories</t>
  </si>
  <si>
    <t>Urban Cargo Co.</t>
  </si>
  <si>
    <t>Date</t>
  </si>
  <si>
    <t>SKU-1007</t>
  </si>
  <si>
    <t>Leather Trifold RFID Wallet</t>
  </si>
  <si>
    <t>SKU-1008</t>
  </si>
  <si>
    <t>Smart Fitness Tracker Watch</t>
  </si>
  <si>
    <t>Quantity Sold</t>
  </si>
  <si>
    <t>SKU-1009</t>
  </si>
  <si>
    <t>Unit Price</t>
  </si>
  <si>
    <t>Soy Wax Aromatherapy Candle</t>
  </si>
  <si>
    <t>Aroma Botanics</t>
  </si>
  <si>
    <t>Total Revenue</t>
  </si>
  <si>
    <t>SKU-1010</t>
  </si>
  <si>
    <t>Payment Method</t>
  </si>
  <si>
    <t>TXN-2026-001</t>
  </si>
  <si>
    <t>Merino Wool Everyday Socks (3-Pack)</t>
  </si>
  <si>
    <t>Initial Stock</t>
  </si>
  <si>
    <t>Units Sold</t>
  </si>
  <si>
    <t>Current Stock</t>
  </si>
  <si>
    <t>Total Cost Value</t>
  </si>
  <si>
    <t>Retail Value</t>
  </si>
  <si>
    <t>Stock Status</t>
  </si>
  <si>
    <t>Credit Card</t>
  </si>
  <si>
    <t>TXN-2026-002</t>
  </si>
  <si>
    <t>Online / UPI</t>
  </si>
  <si>
    <t>TXN-2026-003</t>
  </si>
  <si>
    <t>Cash</t>
  </si>
  <si>
    <t>TXN-2026-004</t>
  </si>
  <si>
    <t>TXN-2026-005</t>
  </si>
  <si>
    <t>Debit Card</t>
  </si>
  <si>
    <t>TXN-2026-006</t>
  </si>
  <si>
    <t>TXN-2026-007</t>
  </si>
  <si>
    <t>TXN-2026-008</t>
  </si>
  <si>
    <t>TXN-2026-009</t>
  </si>
  <si>
    <t>TXN-2026-010</t>
  </si>
  <si>
    <t>TXN-2026-011</t>
  </si>
  <si>
    <t>TXN-2026-012</t>
  </si>
  <si>
    <t>TXN-2026-013</t>
  </si>
  <si>
    <t>TXN-2026-014</t>
  </si>
  <si>
    <t>Total</t>
  </si>
  <si>
    <t>Inomical Mechanical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</si>
</sst>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12" x14ac:knownFonts="1">
    <font>
      <sz val="10"/>
      <color rgb="FF000000"/>
      <name val="Arial"/>
      <scheme val="minor"/>
    </font>
    <font>
      <b/>
      <sz val="14"/>
      <color rgb="FF1E3989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9"/>
      <color rgb="FF3A4971"/>
      <name val="Arial"/>
      <scheme val="minor"/>
    </font>
    <font>
      <sz val="10"/>
      <name val="Arial"/>
    </font>
    <font>
      <b/>
      <sz val="9"/>
      <color rgb="FF991B1B"/>
      <name val="Arial"/>
      <scheme val="minor"/>
    </font>
    <font>
      <b/>
      <sz val="15"/>
      <color rgb="FF1E3989"/>
      <name val="Arial"/>
      <scheme val="minor"/>
    </font>
    <font>
      <b/>
      <sz val="15"/>
      <color rgb="FF991B1B"/>
      <name val="Arial"/>
      <scheme val="minor"/>
    </font>
    <font>
      <b/>
      <sz val="10"/>
      <color rgb="FF991B1B"/>
      <name val="Arial"/>
      <scheme val="minor"/>
    </font>
    <font>
      <b/>
      <sz val="10"/>
      <color rgb="FF156434"/>
      <name val="Arial"/>
      <scheme val="minor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EDF1FB"/>
        <bgColor rgb="FFEDF1FB"/>
      </patternFill>
    </fill>
    <fill>
      <patternFill patternType="solid">
        <fgColor rgb="FFFDEFEF"/>
        <bgColor rgb="FFFDEFEF"/>
      </patternFill>
    </fill>
    <fill>
      <patternFill patternType="solid">
        <fgColor rgb="FFFDE1E1"/>
        <bgColor rgb="FFFDE1E1"/>
      </patternFill>
    </fill>
    <fill>
      <patternFill patternType="solid">
        <fgColor rgb="FFDCFBE7"/>
        <bgColor rgb="FFDCFBE7"/>
      </patternFill>
    </fill>
    <fill>
      <patternFill patternType="solid">
        <fgColor rgb="FFEAEFF7"/>
        <bgColor rgb="FFEAEFF7"/>
      </patternFill>
    </fill>
  </fills>
  <borders count="24">
    <border>
      <left/>
      <right/>
      <top/>
      <bottom/>
      <diagonal/>
    </border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  <diagonal/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CCEA"/>
      </left>
      <right/>
      <top style="thin">
        <color rgb="FFBFCCEA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BFCCEA"/>
      </right>
      <top style="thin">
        <color rgb="FFBFCCEA"/>
      </top>
      <bottom/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  <diagonal/>
    </border>
    <border>
      <left style="thin">
        <color rgb="FFF2BFBF"/>
      </left>
      <right/>
      <top style="thin">
        <color rgb="FFF2BFBF"/>
      </top>
      <bottom/>
      <diagonal/>
    </border>
    <border>
      <left/>
      <right style="thin">
        <color rgb="FFF2BFBF"/>
      </right>
      <top style="thin">
        <color rgb="FFF2BFBF"/>
      </top>
      <bottom/>
      <diagonal/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  <diagonal/>
    </border>
    <border>
      <left style="thin">
        <color rgb="FFBFCCEA"/>
      </left>
      <right/>
      <top/>
      <bottom style="thin">
        <color rgb="FFBFCCEA"/>
      </bottom>
      <diagonal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  <diagonal/>
    </border>
    <border>
      <left/>
      <right style="thin">
        <color rgb="FFBFCCEA"/>
      </right>
      <top/>
      <bottom style="thin">
        <color rgb="FFBFCCEA"/>
      </bottom>
      <diagonal/>
    </border>
    <border>
      <left style="thin">
        <color rgb="FFF2BFBF"/>
      </left>
      <right/>
      <top/>
      <bottom style="thin">
        <color rgb="FFF2BFBF"/>
      </bottom>
      <diagonal/>
    </border>
    <border>
      <left/>
      <right style="thin">
        <color rgb="FFF2BFBF"/>
      </right>
      <top/>
      <bottom style="thin">
        <color rgb="FFF2BFBF"/>
      </bottom>
      <diagonal/>
    </border>
    <border>
      <left style="thin">
        <color rgb="FFCCCCCC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CCCCCC"/>
      </right>
      <top style="thin">
        <color rgb="FFE0E0E0"/>
      </top>
      <bottom/>
      <diagonal/>
    </border>
    <border>
      <left style="thin">
        <color rgb="FFCCCCCC"/>
      </left>
      <right/>
      <top style="thin">
        <color rgb="FF7F7F7F"/>
      </top>
      <bottom style="double">
        <color rgb="FF7F7F7F"/>
      </bottom>
      <diagonal/>
    </border>
    <border>
      <left/>
      <right/>
      <top style="thin">
        <color rgb="FF7F7F7F"/>
      </top>
      <bottom style="double">
        <color rgb="FF7F7F7F"/>
      </bottom>
      <diagonal/>
    </border>
    <border>
      <left/>
      <right style="thin">
        <color rgb="FFCCCCCC"/>
      </right>
      <top style="thin">
        <color rgb="FF7F7F7F"/>
      </top>
      <bottom style="double">
        <color rgb="FF7F7F7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164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164" fontId="3" fillId="0" borderId="12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165" fontId="3" fillId="0" borderId="19" xfId="0" applyNumberFormat="1" applyFont="1" applyBorder="1" applyAlignment="1">
      <alignment horizontal="center"/>
    </xf>
    <xf numFmtId="3" fontId="3" fillId="0" borderId="19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0" fontId="3" fillId="0" borderId="20" xfId="0" applyFont="1" applyBorder="1" applyAlignment="1">
      <alignment horizontal="center"/>
    </xf>
    <xf numFmtId="0" fontId="11" fillId="7" borderId="21" xfId="0" applyFont="1" applyFill="1" applyBorder="1"/>
    <xf numFmtId="0" fontId="11" fillId="7" borderId="22" xfId="0" applyFont="1" applyFill="1" applyBorder="1"/>
    <xf numFmtId="3" fontId="11" fillId="7" borderId="22" xfId="0" applyNumberFormat="1" applyFont="1" applyFill="1" applyBorder="1" applyAlignment="1">
      <alignment horizontal="right"/>
    </xf>
    <xf numFmtId="164" fontId="11" fillId="7" borderId="22" xfId="0" applyNumberFormat="1" applyFont="1" applyFill="1" applyBorder="1" applyAlignment="1">
      <alignment horizontal="right"/>
    </xf>
    <xf numFmtId="0" fontId="11" fillId="7" borderId="23" xfId="0" applyFont="1" applyFill="1" applyBorder="1"/>
    <xf numFmtId="0" fontId="10" fillId="6" borderId="2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5" fillId="0" borderId="7" xfId="0" applyFont="1" applyBorder="1"/>
    <xf numFmtId="0" fontId="6" fillId="4" borderId="9" xfId="0" applyFont="1" applyFill="1" applyBorder="1" applyAlignment="1">
      <alignment horizontal="center" vertical="center"/>
    </xf>
    <xf numFmtId="0" fontId="5" fillId="0" borderId="10" xfId="0" applyFont="1" applyBorder="1"/>
    <xf numFmtId="164" fontId="7" fillId="3" borderId="13" xfId="0" applyNumberFormat="1" applyFont="1" applyFill="1" applyBorder="1" applyAlignment="1">
      <alignment horizontal="center" vertical="center"/>
    </xf>
    <xf numFmtId="0" fontId="5" fillId="0" borderId="15" xfId="0" applyFont="1" applyBorder="1"/>
    <xf numFmtId="3" fontId="7" fillId="3" borderId="13" xfId="0" applyNumberFormat="1" applyFont="1" applyFill="1" applyBorder="1" applyAlignment="1">
      <alignment horizontal="center" vertical="center"/>
    </xf>
    <xf numFmtId="3" fontId="8" fillId="4" borderId="16" xfId="0" applyNumberFormat="1" applyFont="1" applyFill="1" applyBorder="1" applyAlignment="1">
      <alignment horizontal="center" vertical="center"/>
    </xf>
    <xf numFmtId="0" fontId="5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8.140625" customWidth="1"/>
    <col min="2" max="2" width="28.85546875" customWidth="1"/>
    <col min="3" max="3" width="12.5703125" customWidth="1"/>
    <col min="4" max="4" width="15.42578125" customWidth="1"/>
    <col min="5" max="5" width="8.42578125" customWidth="1"/>
    <col min="6" max="6" width="10.140625" customWidth="1"/>
    <col min="7" max="7" width="15.140625" customWidth="1"/>
  </cols>
  <sheetData>
    <row r="1" spans="1:7" x14ac:dyDescent="0.2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4" t="s">
        <v>7</v>
      </c>
    </row>
    <row r="2" spans="1:7" x14ac:dyDescent="0.2">
      <c r="A2" s="5" t="s">
        <v>9</v>
      </c>
      <c r="B2" s="6" t="s">
        <v>10</v>
      </c>
      <c r="C2" s="6" t="s">
        <v>11</v>
      </c>
      <c r="D2" s="6" t="s">
        <v>12</v>
      </c>
      <c r="E2" s="7">
        <v>45</v>
      </c>
      <c r="F2" s="7">
        <v>89.99</v>
      </c>
      <c r="G2" s="8">
        <v>15</v>
      </c>
    </row>
    <row r="3" spans="1:7" x14ac:dyDescent="0.2">
      <c r="A3" s="5" t="s">
        <v>16</v>
      </c>
      <c r="B3" s="6" t="s">
        <v>71</v>
      </c>
      <c r="C3" s="6" t="s">
        <v>11</v>
      </c>
      <c r="D3" s="6" t="s">
        <v>12</v>
      </c>
      <c r="E3" s="7">
        <v>35</v>
      </c>
      <c r="F3" s="7">
        <v>69.989999999999995</v>
      </c>
      <c r="G3" s="8">
        <v>10</v>
      </c>
    </row>
    <row r="4" spans="1:7" x14ac:dyDescent="0.2">
      <c r="A4" s="5" t="s">
        <v>18</v>
      </c>
      <c r="B4" s="6" t="s">
        <v>19</v>
      </c>
      <c r="C4" s="6" t="s">
        <v>20</v>
      </c>
      <c r="D4" s="6" t="s">
        <v>21</v>
      </c>
      <c r="E4" s="7">
        <v>8.5</v>
      </c>
      <c r="F4" s="7">
        <v>19.989999999999998</v>
      </c>
      <c r="G4" s="8">
        <v>25</v>
      </c>
    </row>
    <row r="5" spans="1:7" x14ac:dyDescent="0.2">
      <c r="A5" s="5" t="s">
        <v>22</v>
      </c>
      <c r="B5" s="6" t="s">
        <v>23</v>
      </c>
      <c r="C5" s="6" t="s">
        <v>20</v>
      </c>
      <c r="D5" s="6" t="s">
        <v>21</v>
      </c>
      <c r="E5" s="7">
        <v>12</v>
      </c>
      <c r="F5" s="7">
        <v>24.5</v>
      </c>
      <c r="G5" s="8">
        <v>15</v>
      </c>
    </row>
    <row r="6" spans="1:7" x14ac:dyDescent="0.2">
      <c r="A6" s="5" t="s">
        <v>24</v>
      </c>
      <c r="B6" s="6" t="s">
        <v>25</v>
      </c>
      <c r="C6" s="6" t="s">
        <v>26</v>
      </c>
      <c r="D6" s="6" t="s">
        <v>27</v>
      </c>
      <c r="E6" s="7">
        <v>9</v>
      </c>
      <c r="F6" s="7">
        <v>24</v>
      </c>
      <c r="G6" s="8">
        <v>30</v>
      </c>
    </row>
    <row r="7" spans="1:7" x14ac:dyDescent="0.2">
      <c r="A7" s="5" t="s">
        <v>28</v>
      </c>
      <c r="B7" s="6" t="s">
        <v>29</v>
      </c>
      <c r="C7" s="6" t="s">
        <v>30</v>
      </c>
      <c r="D7" s="6" t="s">
        <v>31</v>
      </c>
      <c r="E7" s="7">
        <v>28</v>
      </c>
      <c r="F7" s="7">
        <v>58</v>
      </c>
      <c r="G7" s="8">
        <v>20</v>
      </c>
    </row>
    <row r="8" spans="1:7" x14ac:dyDescent="0.2">
      <c r="A8" s="5" t="s">
        <v>33</v>
      </c>
      <c r="B8" s="6" t="s">
        <v>34</v>
      </c>
      <c r="C8" s="6" t="s">
        <v>30</v>
      </c>
      <c r="D8" s="6" t="s">
        <v>31</v>
      </c>
      <c r="E8" s="7">
        <v>14</v>
      </c>
      <c r="F8" s="7">
        <v>32</v>
      </c>
      <c r="G8" s="8">
        <v>15</v>
      </c>
    </row>
    <row r="9" spans="1:7" x14ac:dyDescent="0.2">
      <c r="A9" s="5" t="s">
        <v>35</v>
      </c>
      <c r="B9" s="6" t="s">
        <v>36</v>
      </c>
      <c r="C9" s="6" t="s">
        <v>11</v>
      </c>
      <c r="D9" s="6" t="s">
        <v>12</v>
      </c>
      <c r="E9" s="7">
        <v>22</v>
      </c>
      <c r="F9" s="7">
        <v>49.99</v>
      </c>
      <c r="G9" s="8">
        <v>18</v>
      </c>
    </row>
    <row r="10" spans="1:7" x14ac:dyDescent="0.2">
      <c r="A10" s="5" t="s">
        <v>38</v>
      </c>
      <c r="B10" s="6" t="s">
        <v>40</v>
      </c>
      <c r="C10" s="6" t="s">
        <v>20</v>
      </c>
      <c r="D10" s="6" t="s">
        <v>41</v>
      </c>
      <c r="E10" s="7">
        <v>6.5</v>
      </c>
      <c r="F10" s="7">
        <v>16</v>
      </c>
      <c r="G10" s="8">
        <v>20</v>
      </c>
    </row>
    <row r="11" spans="1:7" x14ac:dyDescent="0.2">
      <c r="A11" s="9" t="s">
        <v>43</v>
      </c>
      <c r="B11" s="10" t="s">
        <v>46</v>
      </c>
      <c r="C11" s="10" t="s">
        <v>26</v>
      </c>
      <c r="D11" s="10" t="s">
        <v>27</v>
      </c>
      <c r="E11" s="12">
        <v>7.5</v>
      </c>
      <c r="F11" s="12">
        <v>18.5</v>
      </c>
      <c r="G11" s="1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6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1" width="40.42578125" customWidth="1"/>
    <col min="2" max="2" width="32.5703125" customWidth="1"/>
    <col min="3" max="3" width="12.5703125" customWidth="1"/>
    <col min="4" max="4" width="13.5703125" customWidth="1"/>
    <col min="5" max="5" width="8.42578125" customWidth="1"/>
    <col min="6" max="6" width="14.85546875" customWidth="1"/>
    <col min="7" max="7" width="12.85546875" customWidth="1"/>
    <col min="8" max="8" width="10.42578125" customWidth="1"/>
    <col min="9" max="9" width="15.140625" customWidth="1"/>
  </cols>
  <sheetData>
    <row r="1" spans="1:9" ht="27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customHeight="1" x14ac:dyDescent="0.2">
      <c r="B2" s="32" t="s">
        <v>8</v>
      </c>
      <c r="C2" s="33"/>
      <c r="D2" s="32" t="s">
        <v>13</v>
      </c>
      <c r="E2" s="33"/>
      <c r="F2" s="32" t="s">
        <v>14</v>
      </c>
      <c r="G2" s="33"/>
      <c r="H2" s="34" t="s">
        <v>15</v>
      </c>
      <c r="I2" s="35"/>
    </row>
    <row r="3" spans="1:9" ht="27" customHeight="1" x14ac:dyDescent="0.2">
      <c r="B3" s="36">
        <f>SUM(G6:G15)</f>
        <v>3760</v>
      </c>
      <c r="C3" s="37"/>
      <c r="D3" s="38">
        <f>SUM(F6:F15)</f>
        <v>269</v>
      </c>
      <c r="E3" s="37"/>
      <c r="F3" s="36">
        <f>SUM(H6:H15)</f>
        <v>8341.17</v>
      </c>
      <c r="G3" s="37"/>
      <c r="H3" s="39">
        <f>COUNTIF(I6:I15, "REORDER")</f>
        <v>4</v>
      </c>
      <c r="I3" s="40"/>
    </row>
    <row r="4" spans="1:9" ht="12" customHeight="1" x14ac:dyDescent="0.2"/>
    <row r="5" spans="1:9" ht="24" customHeight="1" x14ac:dyDescent="0.2">
      <c r="A5" s="2" t="s">
        <v>1</v>
      </c>
      <c r="B5" s="3" t="s">
        <v>2</v>
      </c>
      <c r="C5" s="3" t="s">
        <v>3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4" t="s">
        <v>52</v>
      </c>
    </row>
    <row r="6" spans="1:9" ht="12.75" x14ac:dyDescent="0.2">
      <c r="A6" s="5" t="s">
        <v>9</v>
      </c>
      <c r="B6" s="6" t="str">
        <f>VLOOKUP(A6, Products!$A$2:$G$11, 2, FALSE)</f>
        <v>Wireless Noise-Canceling Headphones</v>
      </c>
      <c r="C6" s="6" t="str">
        <f>VLOOKUP(A6, Products!$A$2:$G$11, 3, FALSE)</f>
        <v>Electronics</v>
      </c>
      <c r="D6" s="15">
        <v>50</v>
      </c>
      <c r="E6" s="15">
        <f>SUMIF(Sales!$B$2:$B$100, A6, Sales!$E$2:$E$100)</f>
        <v>38</v>
      </c>
      <c r="F6" s="15">
        <f t="shared" ref="F6:F15" si="0">D6-E6</f>
        <v>12</v>
      </c>
      <c r="G6" s="7">
        <f>F6*VLOOKUP(A6, Products!$A$2:$G$11, 5, FALSE)</f>
        <v>540</v>
      </c>
      <c r="H6" s="7">
        <f>F6*VLOOKUP(A6, Products!$A$2:$G$11, 6, FALSE)</f>
        <v>1079.8799999999999</v>
      </c>
      <c r="I6" s="17" t="str">
        <f>IF(F6&lt;=0, "OUT OF STOCK", IF(F6&lt;=VLOOKUP(A6, Products!$A$2:$G$11, 7, FALSE), "REORDER", "IN STOCK"))</f>
        <v>REORDER</v>
      </c>
    </row>
    <row r="7" spans="1:9" ht="12.75" x14ac:dyDescent="0.2">
      <c r="A7" s="5" t="s">
        <v>16</v>
      </c>
      <c r="B7" s="6" t="str">
        <f>VLOOKUP(A7, Products!$A$2:$G$11, 2, FALSE)</f>
        <v>Inomical Mechanical Keyboard</v>
      </c>
      <c r="C7" s="6" t="str">
        <f>VLOOKUP(A7, Products!$A$2:$G$11, 3, FALSE)</f>
        <v>Electronics</v>
      </c>
      <c r="D7" s="15">
        <v>30</v>
      </c>
      <c r="E7" s="15">
        <f>SUMIF(Sales!$B$2:$B$100, A7, Sales!$E$2:$E$100)</f>
        <v>22</v>
      </c>
      <c r="F7" s="15">
        <f t="shared" si="0"/>
        <v>8</v>
      </c>
      <c r="G7" s="7">
        <f>F7*VLOOKUP(A7, Products!$A$2:$G$11, 5, FALSE)</f>
        <v>280</v>
      </c>
      <c r="H7" s="7">
        <f>F7*VLOOKUP(A7, Products!$A$2:$G$11, 6, FALSE)</f>
        <v>559.91999999999996</v>
      </c>
      <c r="I7" s="17" t="str">
        <f>IF(F7&lt;=0, "OUT OF STOCK", IF(F7&lt;=VLOOKUP(A7, Products!$A$2:$G$11, 7, FALSE), "REORDER", "IN STOCK"))</f>
        <v>REORDER</v>
      </c>
    </row>
    <row r="8" spans="1:9" ht="12.75" x14ac:dyDescent="0.2">
      <c r="A8" s="5" t="s">
        <v>18</v>
      </c>
      <c r="B8" s="6" t="str">
        <f>VLOOKUP(A8, Products!$A$2:$G$11, 2, FALSE)</f>
        <v>Stainless Steel Insulated Tumbler</v>
      </c>
      <c r="C8" s="6" t="str">
        <f>VLOOKUP(A8, Products!$A$2:$G$11, 3, FALSE)</f>
        <v>Home &amp; Kitchen</v>
      </c>
      <c r="D8" s="15">
        <v>60</v>
      </c>
      <c r="E8" s="15">
        <f>SUMIF(Sales!$B$2:$B$100, A8, Sales!$E$2:$E$100)</f>
        <v>12</v>
      </c>
      <c r="F8" s="15">
        <f t="shared" si="0"/>
        <v>48</v>
      </c>
      <c r="G8" s="7">
        <f>F8*VLOOKUP(A8, Products!$A$2:$G$11, 5, FALSE)</f>
        <v>408</v>
      </c>
      <c r="H8" s="7">
        <f>F8*VLOOKUP(A8, Products!$A$2:$G$11, 6, FALSE)</f>
        <v>959.52</v>
      </c>
      <c r="I8" s="18" t="str">
        <f>IF(F8&lt;=0, "OUT OF STOCK", IF(F8&lt;=VLOOKUP(A8, Products!$A$2:$G$11, 7, FALSE), "REORDER", "IN STOCK"))</f>
        <v>IN STOCK</v>
      </c>
    </row>
    <row r="9" spans="1:9" ht="12.75" x14ac:dyDescent="0.2">
      <c r="A9" s="5" t="s">
        <v>22</v>
      </c>
      <c r="B9" s="6" t="str">
        <f>VLOOKUP(A9, Products!$A$2:$G$11, 2, FALSE)</f>
        <v>Ceramic Pour-Over Coffee Dripper</v>
      </c>
      <c r="C9" s="6" t="str">
        <f>VLOOKUP(A9, Products!$A$2:$G$11, 3, FALSE)</f>
        <v>Home &amp; Kitchen</v>
      </c>
      <c r="D9" s="15">
        <v>40</v>
      </c>
      <c r="E9" s="15">
        <f>SUMIF(Sales!$B$2:$B$100, A9, Sales!$E$2:$E$100)</f>
        <v>10</v>
      </c>
      <c r="F9" s="15">
        <f t="shared" si="0"/>
        <v>30</v>
      </c>
      <c r="G9" s="7">
        <f>F9*VLOOKUP(A9, Products!$A$2:$G$11, 5, FALSE)</f>
        <v>360</v>
      </c>
      <c r="H9" s="7">
        <f>F9*VLOOKUP(A9, Products!$A$2:$G$11, 6, FALSE)</f>
        <v>735</v>
      </c>
      <c r="I9" s="18" t="str">
        <f>IF(F9&lt;=0, "OUT OF STOCK", IF(F9&lt;=VLOOKUP(A9, Products!$A$2:$G$11, 7, FALSE), "REORDER", "IN STOCK"))</f>
        <v>IN STOCK</v>
      </c>
    </row>
    <row r="10" spans="1:9" ht="12.75" x14ac:dyDescent="0.2">
      <c r="A10" s="5" t="s">
        <v>24</v>
      </c>
      <c r="B10" s="6" t="str">
        <f>VLOOKUP(A10, Products!$A$2:$G$11, 2, FALSE)</f>
        <v>Organic Cotton Heavyweight T-Shirt</v>
      </c>
      <c r="C10" s="6" t="str">
        <f>VLOOKUP(A10, Products!$A$2:$G$11, 3, FALSE)</f>
        <v>Apparel</v>
      </c>
      <c r="D10" s="15">
        <v>80</v>
      </c>
      <c r="E10" s="15">
        <f>SUMIF(Sales!$B$2:$B$100, A10, Sales!$E$2:$E$100)</f>
        <v>55</v>
      </c>
      <c r="F10" s="15">
        <f t="shared" si="0"/>
        <v>25</v>
      </c>
      <c r="G10" s="7">
        <f>F10*VLOOKUP(A10, Products!$A$2:$G$11, 5, FALSE)</f>
        <v>225</v>
      </c>
      <c r="H10" s="7">
        <f>F10*VLOOKUP(A10, Products!$A$2:$G$11, 6, FALSE)</f>
        <v>600</v>
      </c>
      <c r="I10" s="17" t="str">
        <f>IF(F10&lt;=0, "OUT OF STOCK", IF(F10&lt;=VLOOKUP(A10, Products!$A$2:$G$11, 7, FALSE), "REORDER", "IN STOCK"))</f>
        <v>REORDER</v>
      </c>
    </row>
    <row r="11" spans="1:9" ht="12.75" x14ac:dyDescent="0.2">
      <c r="A11" s="5" t="s">
        <v>28</v>
      </c>
      <c r="B11" s="6" t="str">
        <f>VLOOKUP(A11, Products!$A$2:$G$11, 2, FALSE)</f>
        <v>Water-Resistant Commuter Backpack</v>
      </c>
      <c r="C11" s="6" t="str">
        <f>VLOOKUP(A11, Products!$A$2:$G$11, 3, FALSE)</f>
        <v>Accessories</v>
      </c>
      <c r="D11" s="15">
        <v>35</v>
      </c>
      <c r="E11" s="15">
        <f>SUMIF(Sales!$B$2:$B$100, A11, Sales!$E$2:$E$100)</f>
        <v>12</v>
      </c>
      <c r="F11" s="15">
        <f t="shared" si="0"/>
        <v>23</v>
      </c>
      <c r="G11" s="7">
        <f>F11*VLOOKUP(A11, Products!$A$2:$G$11, 5, FALSE)</f>
        <v>644</v>
      </c>
      <c r="H11" s="7">
        <f>F11*VLOOKUP(A11, Products!$A$2:$G$11, 6, FALSE)</f>
        <v>1334</v>
      </c>
      <c r="I11" s="18" t="str">
        <f>IF(F11&lt;=0, "OUT OF STOCK", IF(F11&lt;=VLOOKUP(A11, Products!$A$2:$G$11, 7, FALSE), "REORDER", "IN STOCK"))</f>
        <v>IN STOCK</v>
      </c>
    </row>
    <row r="12" spans="1:9" ht="12.75" x14ac:dyDescent="0.2">
      <c r="A12" s="5" t="s">
        <v>33</v>
      </c>
      <c r="B12" s="6" t="str">
        <f>VLOOKUP(A12, Products!$A$2:$G$11, 2, FALSE)</f>
        <v>Leather Trifold RFID Wallet</v>
      </c>
      <c r="C12" s="6" t="str">
        <f>VLOOKUP(A12, Products!$A$2:$G$11, 3, FALSE)</f>
        <v>Accessories</v>
      </c>
      <c r="D12" s="15">
        <v>45</v>
      </c>
      <c r="E12" s="15">
        <f>SUMIF(Sales!$B$2:$B$100, A12, Sales!$E$2:$E$100)</f>
        <v>15</v>
      </c>
      <c r="F12" s="15">
        <f t="shared" si="0"/>
        <v>30</v>
      </c>
      <c r="G12" s="7">
        <f>F12*VLOOKUP(A12, Products!$A$2:$G$11, 5, FALSE)</f>
        <v>420</v>
      </c>
      <c r="H12" s="7">
        <f>F12*VLOOKUP(A12, Products!$A$2:$G$11, 6, FALSE)</f>
        <v>960</v>
      </c>
      <c r="I12" s="18" t="str">
        <f>IF(F12&lt;=0, "OUT OF STOCK", IF(F12&lt;=VLOOKUP(A12, Products!$A$2:$G$11, 7, FALSE), "REORDER", "IN STOCK"))</f>
        <v>IN STOCK</v>
      </c>
    </row>
    <row r="13" spans="1:9" ht="12.75" x14ac:dyDescent="0.2">
      <c r="A13" s="5" t="s">
        <v>35</v>
      </c>
      <c r="B13" s="6" t="str">
        <f>VLOOKUP(A13, Products!$A$2:$G$11, 2, FALSE)</f>
        <v>Smart Fitness Tracker Watch</v>
      </c>
      <c r="C13" s="6" t="str">
        <f>VLOOKUP(A13, Products!$A$2:$G$11, 3, FALSE)</f>
        <v>Electronics</v>
      </c>
      <c r="D13" s="15">
        <v>25</v>
      </c>
      <c r="E13" s="15">
        <f>SUMIF(Sales!$B$2:$B$100, A13, Sales!$E$2:$E$100)</f>
        <v>10</v>
      </c>
      <c r="F13" s="15">
        <f t="shared" si="0"/>
        <v>15</v>
      </c>
      <c r="G13" s="7">
        <f>F13*VLOOKUP(A13, Products!$A$2:$G$11, 5, FALSE)</f>
        <v>330</v>
      </c>
      <c r="H13" s="7">
        <f>F13*VLOOKUP(A13, Products!$A$2:$G$11, 6, FALSE)</f>
        <v>749.85</v>
      </c>
      <c r="I13" s="17" t="str">
        <f>IF(F13&lt;=0, "OUT OF STOCK", IF(F13&lt;=VLOOKUP(A13, Products!$A$2:$G$11, 7, FALSE), "REORDER", "IN STOCK"))</f>
        <v>REORDER</v>
      </c>
    </row>
    <row r="14" spans="1:9" ht="12.75" x14ac:dyDescent="0.2">
      <c r="A14" s="5" t="s">
        <v>38</v>
      </c>
      <c r="B14" s="6" t="str">
        <f>VLOOKUP(A14, Products!$A$2:$G$11, 2, FALSE)</f>
        <v>Soy Wax Aromatherapy Candle</v>
      </c>
      <c r="C14" s="6" t="str">
        <f>VLOOKUP(A14, Products!$A$2:$G$11, 3, FALSE)</f>
        <v>Home &amp; Kitchen</v>
      </c>
      <c r="D14" s="15">
        <v>50</v>
      </c>
      <c r="E14" s="15">
        <f>SUMIF(Sales!$B$2:$B$100, A14, Sales!$E$2:$E$100)</f>
        <v>18</v>
      </c>
      <c r="F14" s="15">
        <f t="shared" si="0"/>
        <v>32</v>
      </c>
      <c r="G14" s="7">
        <f>F14*VLOOKUP(A14, Products!$A$2:$G$11, 5, FALSE)</f>
        <v>208</v>
      </c>
      <c r="H14" s="7">
        <f>F14*VLOOKUP(A14, Products!$A$2:$G$11, 6, FALSE)</f>
        <v>512</v>
      </c>
      <c r="I14" s="18" t="str">
        <f>IF(F14&lt;=0, "OUT OF STOCK", IF(F14&lt;=VLOOKUP(A14, Products!$A$2:$G$11, 7, FALSE), "REORDER", "IN STOCK"))</f>
        <v>IN STOCK</v>
      </c>
    </row>
    <row r="15" spans="1:9" ht="12.75" x14ac:dyDescent="0.2">
      <c r="A15" s="19" t="s">
        <v>43</v>
      </c>
      <c r="B15" s="21" t="str">
        <f>VLOOKUP(A15, Products!$A$2:$G$11, 2, FALSE)</f>
        <v>Merino Wool Everyday Socks (3-Pack)</v>
      </c>
      <c r="C15" s="21" t="str">
        <f>VLOOKUP(A15, Products!$A$2:$G$11, 3, FALSE)</f>
        <v>Apparel</v>
      </c>
      <c r="D15" s="23">
        <v>70</v>
      </c>
      <c r="E15" s="23">
        <f>SUMIF(Sales!$B$2:$B$100, A15, Sales!$E$2:$E$100)</f>
        <v>24</v>
      </c>
      <c r="F15" s="23">
        <f t="shared" si="0"/>
        <v>46</v>
      </c>
      <c r="G15" s="24">
        <f>F15*VLOOKUP(A15, Products!$A$2:$G$11, 5, FALSE)</f>
        <v>345</v>
      </c>
      <c r="H15" s="24">
        <f>F15*VLOOKUP(A15, Products!$A$2:$G$11, 6, FALSE)</f>
        <v>851</v>
      </c>
      <c r="I15" s="31" t="str">
        <f>IF(F15&lt;=0, "OUT OF STOCK", IF(F15&lt;=VLOOKUP(A15, Products!$A$2:$G$11, 7, FALSE), "REORDER", "IN STOCK"))</f>
        <v>IN STOCK</v>
      </c>
    </row>
    <row r="16" spans="1:9" ht="12.75" x14ac:dyDescent="0.2">
      <c r="A16" s="26" t="s">
        <v>70</v>
      </c>
      <c r="B16" s="27"/>
      <c r="C16" s="27"/>
      <c r="D16" s="28">
        <f t="shared" ref="D16:H16" si="1">SUM(D6:D15)</f>
        <v>485</v>
      </c>
      <c r="E16" s="28">
        <f t="shared" si="1"/>
        <v>216</v>
      </c>
      <c r="F16" s="28">
        <f t="shared" si="1"/>
        <v>269</v>
      </c>
      <c r="G16" s="29">
        <f t="shared" si="1"/>
        <v>3760</v>
      </c>
      <c r="H16" s="29">
        <f t="shared" si="1"/>
        <v>8341.17</v>
      </c>
      <c r="I16" s="30"/>
    </row>
  </sheetData>
  <mergeCells count="8">
    <mergeCell ref="B2:C2"/>
    <mergeCell ref="D2:E2"/>
    <mergeCell ref="F2:G2"/>
    <mergeCell ref="H2:I2"/>
    <mergeCell ref="B3:C3"/>
    <mergeCell ref="D3:E3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1.42578125" customWidth="1"/>
    <col min="2" max="2" width="8.140625" customWidth="1"/>
    <col min="3" max="3" width="32.5703125" customWidth="1"/>
    <col min="4" max="4" width="9.140625" customWidth="1"/>
    <col min="5" max="5" width="10.7109375" customWidth="1"/>
    <col min="6" max="6" width="8.140625" customWidth="1"/>
    <col min="7" max="7" width="11.28515625" customWidth="1"/>
    <col min="8" max="8" width="17.5703125" customWidth="1"/>
  </cols>
  <sheetData>
    <row r="1" spans="1:8" x14ac:dyDescent="0.2">
      <c r="A1" s="2" t="s">
        <v>17</v>
      </c>
      <c r="B1" s="3" t="s">
        <v>1</v>
      </c>
      <c r="C1" s="3" t="s">
        <v>2</v>
      </c>
      <c r="D1" s="3" t="s">
        <v>32</v>
      </c>
      <c r="E1" s="3" t="s">
        <v>37</v>
      </c>
      <c r="F1" s="3" t="s">
        <v>39</v>
      </c>
      <c r="G1" s="3" t="s">
        <v>42</v>
      </c>
      <c r="H1" s="4" t="s">
        <v>44</v>
      </c>
    </row>
    <row r="2" spans="1:8" x14ac:dyDescent="0.2">
      <c r="A2" s="5" t="s">
        <v>45</v>
      </c>
      <c r="B2" s="11" t="s">
        <v>9</v>
      </c>
      <c r="C2" s="6" t="str">
        <f>IFERROR(VLOOKUP(B2, Products!$A$2:$G$11, 2, FALSE), "")</f>
        <v>Wireless Noise-Canceling Headphones</v>
      </c>
      <c r="D2" s="14">
        <v>46280</v>
      </c>
      <c r="E2" s="15">
        <v>20</v>
      </c>
      <c r="F2" s="7">
        <f>IFERROR(VLOOKUP(B2, Products!$A$2:$G$11, 6, FALSE), "")</f>
        <v>89.99</v>
      </c>
      <c r="G2" s="7">
        <f t="shared" ref="G2:G15" si="0">IF(OR(ISBLANK(E2), ISBLANK(F2)), "", E2*F2)</f>
        <v>1799.8</v>
      </c>
      <c r="H2" s="16" t="s">
        <v>53</v>
      </c>
    </row>
    <row r="3" spans="1:8" x14ac:dyDescent="0.2">
      <c r="A3" s="5" t="s">
        <v>54</v>
      </c>
      <c r="B3" s="11" t="s">
        <v>24</v>
      </c>
      <c r="C3" s="6" t="str">
        <f>IFERROR(VLOOKUP(B3, Products!$A$2:$G$11, 2, FALSE), "")</f>
        <v>Organic Cotton Heavyweight T-Shirt</v>
      </c>
      <c r="D3" s="14">
        <v>46280</v>
      </c>
      <c r="E3" s="15">
        <v>30</v>
      </c>
      <c r="F3" s="7">
        <f>IFERROR(VLOOKUP(B3, Products!$A$2:$G$11, 6, FALSE), "")</f>
        <v>24</v>
      </c>
      <c r="G3" s="7">
        <f t="shared" si="0"/>
        <v>720</v>
      </c>
      <c r="H3" s="16" t="s">
        <v>55</v>
      </c>
    </row>
    <row r="4" spans="1:8" x14ac:dyDescent="0.2">
      <c r="A4" s="5" t="s">
        <v>56</v>
      </c>
      <c r="B4" s="11" t="s">
        <v>18</v>
      </c>
      <c r="C4" s="6" t="str">
        <f>IFERROR(VLOOKUP(B4, Products!$A$2:$G$11, 2, FALSE), "")</f>
        <v>Stainless Steel Insulated Tumbler</v>
      </c>
      <c r="D4" s="14">
        <v>46281</v>
      </c>
      <c r="E4" s="15">
        <v>12</v>
      </c>
      <c r="F4" s="7">
        <f>IFERROR(VLOOKUP(B4, Products!$A$2:$G$11, 6, FALSE), "")</f>
        <v>19.989999999999998</v>
      </c>
      <c r="G4" s="7">
        <f t="shared" si="0"/>
        <v>239.88</v>
      </c>
      <c r="H4" s="16" t="s">
        <v>57</v>
      </c>
    </row>
    <row r="5" spans="1:8" x14ac:dyDescent="0.2">
      <c r="A5" s="5" t="s">
        <v>58</v>
      </c>
      <c r="B5" s="11" t="s">
        <v>16</v>
      </c>
      <c r="C5" s="6" t="str">
        <f>IFERROR(VLOOKUP(B5, Products!$A$2:$G$11, 2, FALSE), "")</f>
        <v>Inomical Mechanical Keyboard</v>
      </c>
      <c r="D5" s="14">
        <v>46281</v>
      </c>
      <c r="E5" s="15">
        <v>14</v>
      </c>
      <c r="F5" s="7">
        <f>IFERROR(VLOOKUP(B5, Products!$A$2:$G$11, 6, FALSE), "")</f>
        <v>69.989999999999995</v>
      </c>
      <c r="G5" s="7">
        <f t="shared" si="0"/>
        <v>979.8599999999999</v>
      </c>
      <c r="H5" s="16" t="s">
        <v>53</v>
      </c>
    </row>
    <row r="6" spans="1:8" x14ac:dyDescent="0.2">
      <c r="A6" s="5" t="s">
        <v>59</v>
      </c>
      <c r="B6" s="11" t="s">
        <v>35</v>
      </c>
      <c r="C6" s="6" t="str">
        <f>IFERROR(VLOOKUP(B6, Products!$A$2:$G$11, 2, FALSE), "")</f>
        <v>Smart Fitness Tracker Watch</v>
      </c>
      <c r="D6" s="14">
        <v>46282</v>
      </c>
      <c r="E6" s="15">
        <v>6</v>
      </c>
      <c r="F6" s="7">
        <f>IFERROR(VLOOKUP(B6, Products!$A$2:$G$11, 6, FALSE), "")</f>
        <v>49.99</v>
      </c>
      <c r="G6" s="7">
        <f t="shared" si="0"/>
        <v>299.94</v>
      </c>
      <c r="H6" s="16" t="s">
        <v>60</v>
      </c>
    </row>
    <row r="7" spans="1:8" x14ac:dyDescent="0.2">
      <c r="A7" s="5" t="s">
        <v>61</v>
      </c>
      <c r="B7" s="11" t="s">
        <v>9</v>
      </c>
      <c r="C7" s="6" t="str">
        <f>IFERROR(VLOOKUP(B7, Products!$A$2:$G$11, 2, FALSE), "")</f>
        <v>Wireless Noise-Canceling Headphones</v>
      </c>
      <c r="D7" s="14">
        <v>46283</v>
      </c>
      <c r="E7" s="15">
        <v>18</v>
      </c>
      <c r="F7" s="7">
        <f>IFERROR(VLOOKUP(B7, Products!$A$2:$G$11, 6, FALSE), "")</f>
        <v>89.99</v>
      </c>
      <c r="G7" s="7">
        <f t="shared" si="0"/>
        <v>1619.82</v>
      </c>
      <c r="H7" s="16" t="s">
        <v>53</v>
      </c>
    </row>
    <row r="8" spans="1:8" x14ac:dyDescent="0.2">
      <c r="A8" s="5" t="s">
        <v>62</v>
      </c>
      <c r="B8" s="11" t="s">
        <v>28</v>
      </c>
      <c r="C8" s="6" t="str">
        <f>IFERROR(VLOOKUP(B8, Products!$A$2:$G$11, 2, FALSE), "")</f>
        <v>Water-Resistant Commuter Backpack</v>
      </c>
      <c r="D8" s="14">
        <v>46283</v>
      </c>
      <c r="E8" s="15">
        <v>12</v>
      </c>
      <c r="F8" s="7">
        <f>IFERROR(VLOOKUP(B8, Products!$A$2:$G$11, 6, FALSE), "")</f>
        <v>58</v>
      </c>
      <c r="G8" s="7">
        <f t="shared" si="0"/>
        <v>696</v>
      </c>
      <c r="H8" s="16" t="s">
        <v>55</v>
      </c>
    </row>
    <row r="9" spans="1:8" x14ac:dyDescent="0.2">
      <c r="A9" s="5" t="s">
        <v>63</v>
      </c>
      <c r="B9" s="11" t="s">
        <v>24</v>
      </c>
      <c r="C9" s="6" t="str">
        <f>IFERROR(VLOOKUP(B9, Products!$A$2:$G$11, 2, FALSE), "")</f>
        <v>Organic Cotton Heavyweight T-Shirt</v>
      </c>
      <c r="D9" s="14">
        <v>46284</v>
      </c>
      <c r="E9" s="15">
        <v>25</v>
      </c>
      <c r="F9" s="7">
        <f>IFERROR(VLOOKUP(B9, Products!$A$2:$G$11, 6, FALSE), "")</f>
        <v>24</v>
      </c>
      <c r="G9" s="7">
        <f t="shared" si="0"/>
        <v>600</v>
      </c>
      <c r="H9" s="16" t="s">
        <v>57</v>
      </c>
    </row>
    <row r="10" spans="1:8" x14ac:dyDescent="0.2">
      <c r="A10" s="5" t="s">
        <v>64</v>
      </c>
      <c r="B10" s="11" t="s">
        <v>22</v>
      </c>
      <c r="C10" s="6" t="str">
        <f>IFERROR(VLOOKUP(B10, Products!$A$2:$G$11, 2, FALSE), "")</f>
        <v>Ceramic Pour-Over Coffee Dripper</v>
      </c>
      <c r="D10" s="14">
        <v>46285</v>
      </c>
      <c r="E10" s="15">
        <v>10</v>
      </c>
      <c r="F10" s="7">
        <f>IFERROR(VLOOKUP(B10, Products!$A$2:$G$11, 6, FALSE), "")</f>
        <v>24.5</v>
      </c>
      <c r="G10" s="7">
        <f t="shared" si="0"/>
        <v>245</v>
      </c>
      <c r="H10" s="16" t="s">
        <v>53</v>
      </c>
    </row>
    <row r="11" spans="1:8" x14ac:dyDescent="0.2">
      <c r="A11" s="5" t="s">
        <v>65</v>
      </c>
      <c r="B11" s="11" t="s">
        <v>16</v>
      </c>
      <c r="C11" s="6" t="str">
        <f>IFERROR(VLOOKUP(B11, Products!$A$2:$G$11, 2, FALSE), "")</f>
        <v>Inomical Mechanical Keyboard</v>
      </c>
      <c r="D11" s="14">
        <v>46286</v>
      </c>
      <c r="E11" s="15">
        <v>8</v>
      </c>
      <c r="F11" s="7">
        <f>IFERROR(VLOOKUP(B11, Products!$A$2:$G$11, 6, FALSE), "")</f>
        <v>69.989999999999995</v>
      </c>
      <c r="G11" s="7">
        <f t="shared" si="0"/>
        <v>559.91999999999996</v>
      </c>
      <c r="H11" s="16" t="s">
        <v>55</v>
      </c>
    </row>
    <row r="12" spans="1:8" x14ac:dyDescent="0.2">
      <c r="A12" s="5" t="s">
        <v>66</v>
      </c>
      <c r="B12" s="11" t="s">
        <v>33</v>
      </c>
      <c r="C12" s="6" t="str">
        <f>IFERROR(VLOOKUP(B12, Products!$A$2:$G$11, 2, FALSE), "")</f>
        <v>Leather Trifold RFID Wallet</v>
      </c>
      <c r="D12" s="14">
        <v>46286</v>
      </c>
      <c r="E12" s="15">
        <v>15</v>
      </c>
      <c r="F12" s="7">
        <f>IFERROR(VLOOKUP(B12, Products!$A$2:$G$11, 6, FALSE), "")</f>
        <v>32</v>
      </c>
      <c r="G12" s="7">
        <f t="shared" si="0"/>
        <v>480</v>
      </c>
      <c r="H12" s="16" t="s">
        <v>53</v>
      </c>
    </row>
    <row r="13" spans="1:8" x14ac:dyDescent="0.2">
      <c r="A13" s="5" t="s">
        <v>67</v>
      </c>
      <c r="B13" s="11" t="s">
        <v>38</v>
      </c>
      <c r="C13" s="6" t="str">
        <f>IFERROR(VLOOKUP(B13, Products!$A$2:$G$11, 2, FALSE), "")</f>
        <v>Soy Wax Aromatherapy Candle</v>
      </c>
      <c r="D13" s="14">
        <v>46287</v>
      </c>
      <c r="E13" s="15">
        <v>18</v>
      </c>
      <c r="F13" s="7">
        <f>IFERROR(VLOOKUP(B13, Products!$A$2:$G$11, 6, FALSE), "")</f>
        <v>16</v>
      </c>
      <c r="G13" s="7">
        <f t="shared" si="0"/>
        <v>288</v>
      </c>
      <c r="H13" s="16" t="s">
        <v>57</v>
      </c>
    </row>
    <row r="14" spans="1:8" x14ac:dyDescent="0.2">
      <c r="A14" s="5" t="s">
        <v>68</v>
      </c>
      <c r="B14" s="11" t="s">
        <v>43</v>
      </c>
      <c r="C14" s="6" t="str">
        <f>IFERROR(VLOOKUP(B14, Products!$A$2:$G$11, 2, FALSE), "")</f>
        <v>Merino Wool Everyday Socks (3-Pack)</v>
      </c>
      <c r="D14" s="14">
        <v>46287</v>
      </c>
      <c r="E14" s="15">
        <v>24</v>
      </c>
      <c r="F14" s="7">
        <f>IFERROR(VLOOKUP(B14, Products!$A$2:$G$11, 6, FALSE), "")</f>
        <v>18.5</v>
      </c>
      <c r="G14" s="7">
        <f t="shared" si="0"/>
        <v>444</v>
      </c>
      <c r="H14" s="16" t="s">
        <v>60</v>
      </c>
    </row>
    <row r="15" spans="1:8" x14ac:dyDescent="0.2">
      <c r="A15" s="19" t="s">
        <v>69</v>
      </c>
      <c r="B15" s="20" t="s">
        <v>35</v>
      </c>
      <c r="C15" s="21" t="str">
        <f>IFERROR(VLOOKUP(B15, Products!$A$2:$G$11, 2, FALSE), "")</f>
        <v>Smart Fitness Tracker Watch</v>
      </c>
      <c r="D15" s="22">
        <v>46288</v>
      </c>
      <c r="E15" s="23">
        <v>4</v>
      </c>
      <c r="F15" s="24">
        <f>IFERROR(VLOOKUP(B15, Products!$A$2:$G$11, 6, FALSE), "")</f>
        <v>49.99</v>
      </c>
      <c r="G15" s="24">
        <f t="shared" si="0"/>
        <v>199.96</v>
      </c>
      <c r="H15" s="25" t="s">
        <v>53</v>
      </c>
    </row>
    <row r="16" spans="1:8" x14ac:dyDescent="0.2">
      <c r="A16" s="26" t="s">
        <v>70</v>
      </c>
      <c r="B16" s="27"/>
      <c r="C16" s="27"/>
      <c r="D16" s="27"/>
      <c r="E16" s="28">
        <f>SUM(E2:E15)</f>
        <v>216</v>
      </c>
      <c r="F16" s="27"/>
      <c r="G16" s="29">
        <f>SUM(G2:G15)</f>
        <v>9172.18</v>
      </c>
      <c r="H16" s="30"/>
    </row>
  </sheetData>
  <dataValidations count="1">
    <dataValidation type="list" allowBlank="1" sqref="H2:H15" xr:uid="{00000000-0002-0000-0200-000000000000}">
      <formula1>"Credit Card,Debit Card,Cash,Online / UPI"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Inventory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M Shishir</cp:lastModifiedBy>
  <dcterms:modified xsi:type="dcterms:W3CDTF">2026-10-01T06:40:47Z</dcterms:modified>
</cp:coreProperties>
</file>